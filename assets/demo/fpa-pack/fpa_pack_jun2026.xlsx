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ARAM" sheetId="2" state="visible" r:id="rId2"/>
    <sheet xmlns:r="http://schemas.openxmlformats.org/officeDocument/2006/relationships" name="PPTO_REAL" sheetId="3" state="visible" r:id="rId3"/>
    <sheet xmlns:r="http://schemas.openxmlformats.org/officeDocument/2006/relationships" name="PyG_H1" sheetId="4" state="visible" r:id="rId4"/>
    <sheet xmlns:r="http://schemas.openxmlformats.org/officeDocument/2006/relationships" name="BAL" sheetId="5" state="visible" r:id="rId5"/>
    <sheet xmlns:r="http://schemas.openxmlformats.org/officeDocument/2006/relationships" name="KPIs" sheetId="6" state="visible" r:id="rId6"/>
    <sheet xmlns:r="http://schemas.openxmlformats.org/officeDocument/2006/relationships" name="BRIDGE" sheetId="7" state="visible" r:id="rId7"/>
    <sheet xmlns:r="http://schemas.openxmlformats.org/officeDocument/2006/relationships" name="FLUJO" sheetId="8" state="visible" r:id="rId8"/>
    <sheet xmlns:r="http://schemas.openxmlformats.org/officeDocument/2006/relationships" name="FORECAST_H2" sheetId="9" state="visible" r:id="rId9"/>
    <sheet xmlns:r="http://schemas.openxmlformats.org/officeDocument/2006/relationships" name="FX_FORECAST" sheetId="10" state="visible" r:id="rId10"/>
    <sheet xmlns:r="http://schemas.openxmlformats.org/officeDocument/2006/relationships" name="COMP_LY" sheetId="11" state="visible" r:id="rId11"/>
    <sheet xmlns:r="http://schemas.openxmlformats.org/officeDocument/2006/relationships" name="PUENTE_VENTAS" sheetId="12" state="visible" r:id="rId12"/>
    <sheet xmlns:r="http://schemas.openxmlformats.org/officeDocument/2006/relationships" name="DRILL_CLIENTES" sheetId="13" state="visible" r:id="rId13"/>
    <sheet xmlns:r="http://schemas.openxmlformats.org/officeDocument/2006/relationships" name="DRILL_SKUS" sheetId="14" state="visible" r:id="rId14"/>
    <sheet xmlns:r="http://schemas.openxmlformats.org/officeDocument/2006/relationships" name="DICC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;0.0%;-"/>
    <numFmt numFmtId="165" formatCode="#,##0;-#,##0;-"/>
    <numFmt numFmtId="166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0B6D9E"/>
      <sz val="14"/>
    </font>
    <font>
      <name val="Calibri"/>
      <b val="1"/>
      <color rgb="000B6D9E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0B6D9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pivotButton="0" quotePrefix="0" xfId="0"/>
    <xf numFmtId="2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4" fillId="2" borderId="0" applyAlignment="1" pivotButton="0" quotePrefix="0" xfId="0">
      <alignment horizontal="center" wrapText="1"/>
    </xf>
    <xf numFmtId="0" fontId="5" fillId="0" borderId="0" pivotButton="0" quotePrefix="0" xfId="0"/>
    <xf numFmtId="165" fontId="5" fillId="0" borderId="1" pivotButton="0" quotePrefix="0" xfId="0"/>
    <xf numFmtId="164" fontId="5" fillId="0" borderId="1" pivotButton="0" quotePrefix="0" xfId="0"/>
    <xf numFmtId="0" fontId="5" fillId="0" borderId="1" pivotButton="0" quotePrefix="0" xfId="0"/>
    <xf numFmtId="166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Distribuidora Andina del Sur S.A.C.</t>
        </is>
      </c>
    </row>
    <row r="2">
      <c r="A2" s="2" t="inlineStr">
        <is>
          <t>FP&amp;A Monthly Pack — corte Junio 2026 (H1) · Caso 100% sintético</t>
        </is>
      </c>
    </row>
    <row r="4" ht="30" customHeight="1">
      <c r="A4" s="3" t="inlineStr">
        <is>
          <t>AVISO: todas las cifras son inventadas para fines demostrativos. Ningún dato corresponde a un cliente real. Moneda: soles (PEN). Tasa IR 29.5%. TC ppto 3.72, real prom H1 3.81, cierre jun 3.84.</t>
        </is>
      </c>
    </row>
    <row r="6">
      <c r="A6" s="4" t="inlineStr">
        <is>
          <t>PARAM: supuestos (TC, tasas, calendario)</t>
        </is>
      </c>
    </row>
    <row r="7">
      <c r="A7" s="4" t="inlineStr">
        <is>
          <t>PPTO_REAL: ventas mensuales ppto vs real ene-jun + acumulado</t>
        </is>
      </c>
    </row>
    <row r="8">
      <c r="A8" s="4" t="inlineStr">
        <is>
          <t>PyG_H1: estado de resultados H1 con fórmulas, desvíos y márgenes</t>
        </is>
      </c>
    </row>
    <row r="9">
      <c r="A9" s="4" t="inlineStr">
        <is>
          <t>BAL: balance dic-25 vs jun-26, cuadra Activo = Pasivo + Patrimonio</t>
        </is>
      </c>
    </row>
    <row r="10">
      <c r="A10" s="4" t="inlineStr">
        <is>
          <t>KPIs: DSO/DIO/DPO/CCC y rentabilidad con semáforos y fórmulas</t>
        </is>
      </c>
    </row>
    <row r="11">
      <c r="A11" s="4" t="inlineStr">
        <is>
          <t>BRIDGE: puente EBITDA ppto → real reconciliado con el PVM (margen std 24%)</t>
        </is>
      </c>
    </row>
    <row r="12">
      <c r="A12" s="4" t="inlineStr">
        <is>
          <t>FLUJO: caja H1 indirecta que ata neta + WC + deuda = Δcaja -250k</t>
        </is>
      </c>
    </row>
    <row r="13">
      <c r="A13" s="4" t="inlineStr">
        <is>
          <t>FORECAST_H2: deuda mensual jul-dic con pico en octubre (supuesto base)</t>
        </is>
      </c>
    </row>
    <row r="14">
      <c r="A14" s="4" t="inlineStr">
        <is>
          <t>COMP_LY: H1-2025 vs H1-2026 like-for-like + canales YoY</t>
        </is>
      </c>
    </row>
    <row r="15">
      <c r="A15" s="4" t="inlineStr">
        <is>
          <t>PUENTE_VENTAS: volumen, precio, mix y descuento (atribuye los -1.70M)</t>
        </is>
      </c>
    </row>
    <row r="16">
      <c r="A16" s="4" t="inlineStr">
        <is>
          <t>DRILL_CLIENTES: CxC institucional por cliente y aging, con DSO</t>
        </is>
      </c>
    </row>
    <row r="17">
      <c r="A17" s="4" t="inlineStr">
        <is>
          <t>DRILL_SKUS: inventarios Hogar por SKU, valorizado y cobertura</t>
        </is>
      </c>
    </row>
    <row r="18">
      <c r="A18" s="4" t="inlineStr">
        <is>
          <t>FX_FORECAST: exposición USD, sensibilidad y forecast FY con plan de acción</t>
        </is>
      </c>
    </row>
    <row r="19">
      <c r="A19" s="4" t="inlineStr">
        <is>
          <t>DICC: diccionario de campos y linaje</t>
        </is>
      </c>
    </row>
  </sheetData>
  <mergeCells count="3">
    <mergeCell ref="A2"/>
    <mergeCell ref="A1"/>
    <mergeCell ref="A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44" customWidth="1" min="3" max="3"/>
  </cols>
  <sheetData>
    <row r="1">
      <c r="A1" s="5" t="inlineStr">
        <is>
          <t>Parámetro</t>
        </is>
      </c>
      <c r="B1" s="5" t="inlineStr">
        <is>
          <t>Valor</t>
        </is>
      </c>
      <c r="C1" s="5" t="inlineStr">
        <is>
          <t>Fuente / nota</t>
        </is>
      </c>
    </row>
    <row r="2">
      <c r="A2" s="6" t="inlineStr">
        <is>
          <t>Parámetro</t>
        </is>
      </c>
      <c r="B2" s="6" t="inlineStr">
        <is>
          <t>Valor</t>
        </is>
      </c>
      <c r="C2" s="6" t="inlineStr">
        <is>
          <t>Fuente / nota</t>
        </is>
      </c>
    </row>
    <row r="3">
      <c r="A3" s="6" t="inlineStr">
        <is>
          <t>TC presupuesto 2026</t>
        </is>
      </c>
      <c r="B3" s="7" t="n">
        <v>3.72</v>
      </c>
      <c r="C3" s="6" t="inlineStr">
        <is>
          <t>Supuesto anual</t>
        </is>
      </c>
    </row>
    <row r="4">
      <c r="A4" s="6" t="inlineStr">
        <is>
          <t>TC promedio real H1</t>
        </is>
      </c>
      <c r="B4" s="7" t="n">
        <v>3.81</v>
      </c>
      <c r="C4" s="6" t="inlineStr">
        <is>
          <t>BCRP (sintético)</t>
        </is>
      </c>
    </row>
    <row r="5">
      <c r="A5" s="6" t="inlineStr">
        <is>
          <t>TC cierre junio</t>
        </is>
      </c>
      <c r="B5" s="7" t="n">
        <v>3.84</v>
      </c>
      <c r="C5" s="6" t="inlineStr">
        <is>
          <t>BCRP (sintético)</t>
        </is>
      </c>
    </row>
    <row r="6">
      <c r="A6" s="6" t="inlineStr">
        <is>
          <t>Tasa IR</t>
        </is>
      </c>
      <c r="B6" s="6" t="n">
        <v>0.295</v>
      </c>
      <c r="C6" s="6" t="inlineStr">
        <is>
          <t>Régimen general</t>
        </is>
      </c>
    </row>
    <row r="7">
      <c r="A7" s="6" t="inlineStr">
        <is>
          <t>Días H1 (ene-jun)</t>
        </is>
      </c>
      <c r="B7" s="8" t="n">
        <v>181</v>
      </c>
      <c r="C7" s="6" t="inlineStr">
        <is>
          <t>Calendario</t>
        </is>
      </c>
    </row>
    <row r="8">
      <c r="A8" s="6" t="inlineStr">
        <is>
          <t>% compras en USD</t>
        </is>
      </c>
      <c r="B8" s="6" t="n">
        <v>0.7</v>
      </c>
      <c r="C8" s="6" t="inlineStr">
        <is>
          <t>Política importaciones</t>
        </is>
      </c>
    </row>
    <row r="9">
      <c r="A9" s="6" t="inlineStr">
        <is>
          <t>Caja mínima operativa</t>
        </is>
      </c>
      <c r="B9" s="6" t="n">
        <v>900000</v>
      </c>
      <c r="C9" s="6" t="inlineStr">
        <is>
          <t>Tesorería</t>
        </is>
      </c>
    </row>
    <row r="10">
      <c r="A10" s="6" t="inlineStr">
        <is>
          <t>Presupuesto ventas FY</t>
        </is>
      </c>
      <c r="B10" s="9" t="n">
        <v>60200000</v>
      </c>
      <c r="C10" s="6" t="inlineStr">
        <is>
          <t>PPTO_2026 aprobado</t>
        </is>
      </c>
    </row>
    <row r="11">
      <c r="A11" s="6" t="inlineStr">
        <is>
          <t>Línea revolvente propuesta</t>
        </is>
      </c>
      <c r="B11" s="9" t="n">
        <v>2500000</v>
      </c>
      <c r="C11" s="6" t="inlineStr">
        <is>
          <t>Banco, por aprobar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>
      <c r="A1" s="10" t="inlineStr">
        <is>
          <t>Mes</t>
        </is>
      </c>
      <c r="B1" s="10" t="inlineStr">
        <is>
          <t>Ppto</t>
        </is>
      </c>
      <c r="C1" s="10" t="inlineStr">
        <is>
          <t>Real</t>
        </is>
      </c>
      <c r="D1" s="10" t="inlineStr">
        <is>
          <t>Desvío (S/)</t>
        </is>
      </c>
      <c r="E1" s="10" t="inlineStr">
        <is>
          <t>Desvío %</t>
        </is>
      </c>
    </row>
    <row r="2">
      <c r="A2" s="4" t="inlineStr">
        <is>
          <t>Ene</t>
        </is>
      </c>
      <c r="B2" s="9" t="n">
        <v>4600000</v>
      </c>
      <c r="C2" s="9" t="n">
        <v>4550000</v>
      </c>
      <c r="D2" s="9">
        <f>C2-B2</f>
        <v/>
      </c>
      <c r="E2" s="8">
        <f>IF(B2=0,0,C2/B2-1)</f>
        <v/>
      </c>
    </row>
    <row r="3">
      <c r="A3" s="4" t="inlineStr">
        <is>
          <t>Feb</t>
        </is>
      </c>
      <c r="B3" s="9" t="n">
        <v>4400000</v>
      </c>
      <c r="C3" s="9" t="n">
        <v>4200000</v>
      </c>
      <c r="D3" s="9">
        <f>C3-B3</f>
        <v/>
      </c>
      <c r="E3" s="8">
        <f>IF(B3=0,0,C3/B3-1)</f>
        <v/>
      </c>
    </row>
    <row r="4">
      <c r="A4" s="4" t="inlineStr">
        <is>
          <t>Mar</t>
        </is>
      </c>
      <c r="B4" s="9" t="n">
        <v>5000000</v>
      </c>
      <c r="C4" s="9" t="n">
        <v>4750000</v>
      </c>
      <c r="D4" s="9">
        <f>C4-B4</f>
        <v/>
      </c>
      <c r="E4" s="8">
        <f>IF(B4=0,0,C4/B4-1)</f>
        <v/>
      </c>
    </row>
    <row r="5">
      <c r="A5" s="4" t="inlineStr">
        <is>
          <t>Abr</t>
        </is>
      </c>
      <c r="B5" s="9" t="n">
        <v>5000000</v>
      </c>
      <c r="C5" s="9" t="n">
        <v>4700000</v>
      </c>
      <c r="D5" s="9">
        <f>C5-B5</f>
        <v/>
      </c>
      <c r="E5" s="8">
        <f>IF(B5=0,0,C5/B5-1)</f>
        <v/>
      </c>
    </row>
    <row r="6">
      <c r="A6" s="4" t="inlineStr">
        <is>
          <t>May</t>
        </is>
      </c>
      <c r="B6" s="9" t="n">
        <v>5200000</v>
      </c>
      <c r="C6" s="9" t="n">
        <v>4850000</v>
      </c>
      <c r="D6" s="9">
        <f>C6-B6</f>
        <v/>
      </c>
      <c r="E6" s="8">
        <f>IF(B6=0,0,C6/B6-1)</f>
        <v/>
      </c>
    </row>
    <row r="7">
      <c r="A7" s="4" t="inlineStr">
        <is>
          <t>Jun</t>
        </is>
      </c>
      <c r="B7" s="9" t="n">
        <v>5900000</v>
      </c>
      <c r="C7" s="9" t="n">
        <v>5350000</v>
      </c>
      <c r="D7" s="9">
        <f>C7-B7</f>
        <v/>
      </c>
      <c r="E7" s="8">
        <f>IF(B7=0,0,C7/B7-1)</f>
        <v/>
      </c>
    </row>
    <row r="8">
      <c r="A8" s="11" t="inlineStr">
        <is>
          <t>H1</t>
        </is>
      </c>
      <c r="B8" s="12">
        <f>SUM(B2:B7)</f>
        <v/>
      </c>
      <c r="C8" s="12">
        <f>SUM(C2:C7)</f>
        <v/>
      </c>
      <c r="D8" s="12">
        <f>C8-B8</f>
        <v/>
      </c>
      <c r="E8" s="13">
        <f>C8/B8-1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0" customWidth="1" min="5" max="5"/>
    <col width="12" customWidth="1" min="6" max="6"/>
  </cols>
  <sheetData>
    <row r="1">
      <c r="A1" s="10" t="inlineStr">
        <is>
          <t>Cuenta</t>
        </is>
      </c>
      <c r="B1" s="10" t="inlineStr">
        <is>
          <t>Ppto H1</t>
        </is>
      </c>
      <c r="C1" s="10" t="inlineStr">
        <is>
          <t>Real H1</t>
        </is>
      </c>
      <c r="D1" s="10" t="inlineStr">
        <is>
          <t>Desvío</t>
        </is>
      </c>
      <c r="E1" s="10" t="inlineStr">
        <is>
          <t>Desv %</t>
        </is>
      </c>
      <c r="F1" s="10" t="inlineStr">
        <is>
          <t>Margen real</t>
        </is>
      </c>
    </row>
    <row r="2">
      <c r="A2" s="4" t="inlineStr">
        <is>
          <t>Ventas netas</t>
        </is>
      </c>
      <c r="B2" s="9" t="n">
        <v>30100000</v>
      </c>
      <c r="C2" s="9" t="n">
        <v>28400000</v>
      </c>
      <c r="D2" s="9">
        <f>C2-B2</f>
        <v/>
      </c>
      <c r="E2" s="8">
        <f>IF(B2=0,0,C2/B2-1)</f>
        <v/>
      </c>
      <c r="F2" s="6" t="inlineStr">
        <is>
          <t>—</t>
        </is>
      </c>
    </row>
    <row r="3">
      <c r="A3" s="4" t="inlineStr">
        <is>
          <t>Costo de ventas</t>
        </is>
      </c>
      <c r="B3" s="9" t="n">
        <v>22876000</v>
      </c>
      <c r="C3" s="9" t="n">
        <v>22123600</v>
      </c>
      <c r="D3" s="9">
        <f>C3-B3</f>
        <v/>
      </c>
      <c r="E3" s="8">
        <f>IF(B3=0,0,C3/B3-1)</f>
        <v/>
      </c>
      <c r="F3" s="6" t="inlineStr">
        <is>
          <t>—</t>
        </is>
      </c>
    </row>
    <row r="4">
      <c r="A4" s="11" t="inlineStr">
        <is>
          <t>Utilidad bruta</t>
        </is>
      </c>
      <c r="B4" s="12" t="n">
        <v>7224000</v>
      </c>
      <c r="C4" s="12" t="n">
        <v>6276400</v>
      </c>
      <c r="D4" s="12">
        <f>C4-B4</f>
        <v/>
      </c>
      <c r="E4" s="13">
        <f>IF(B4=0,0,C4/B4-1)</f>
        <v/>
      </c>
      <c r="F4" s="13">
        <f>IF($C$2=0,0,C4/$C$2)</f>
        <v/>
      </c>
    </row>
    <row r="5">
      <c r="A5" s="4" t="inlineStr">
        <is>
          <t>Gastos operativos</t>
        </is>
      </c>
      <c r="B5" s="9" t="n">
        <v>3924000</v>
      </c>
      <c r="C5" s="9" t="n">
        <v>3926400</v>
      </c>
      <c r="D5" s="9">
        <f>C5-B5</f>
        <v/>
      </c>
      <c r="E5" s="8">
        <f>IF(B5=0,0,C5/B5-1)</f>
        <v/>
      </c>
      <c r="F5" s="6" t="inlineStr">
        <is>
          <t>—</t>
        </is>
      </c>
    </row>
    <row r="6">
      <c r="A6" s="11" t="inlineStr">
        <is>
          <t>EBITDA</t>
        </is>
      </c>
      <c r="B6" s="12" t="n">
        <v>3300000</v>
      </c>
      <c r="C6" s="12" t="n">
        <v>2350000</v>
      </c>
      <c r="D6" s="12">
        <f>C6-B6</f>
        <v/>
      </c>
      <c r="E6" s="13">
        <f>IF(B6=0,0,C6/B6-1)</f>
        <v/>
      </c>
      <c r="F6" s="13">
        <f>IF($C$2=0,0,C6/$C$2)</f>
        <v/>
      </c>
    </row>
    <row r="7">
      <c r="A7" s="4" t="inlineStr">
        <is>
          <t>Depreciación</t>
        </is>
      </c>
      <c r="B7" s="9" t="n">
        <v>450000</v>
      </c>
      <c r="C7" s="9" t="n">
        <v>450000</v>
      </c>
      <c r="D7" s="9">
        <f>C7-B7</f>
        <v/>
      </c>
      <c r="E7" s="8">
        <f>IF(B7=0,0,C7/B7-1)</f>
        <v/>
      </c>
      <c r="F7" s="6" t="inlineStr">
        <is>
          <t>—</t>
        </is>
      </c>
    </row>
    <row r="8">
      <c r="A8" s="11" t="inlineStr">
        <is>
          <t>EBIT</t>
        </is>
      </c>
      <c r="B8" s="12" t="n">
        <v>2850000</v>
      </c>
      <c r="C8" s="12" t="n">
        <v>1900000</v>
      </c>
      <c r="D8" s="12">
        <f>C8-B8</f>
        <v/>
      </c>
      <c r="E8" s="13">
        <f>IF(B8=0,0,C8/B8-1)</f>
        <v/>
      </c>
      <c r="F8" s="13">
        <f>IF($C$2=0,0,C8/$C$2)</f>
        <v/>
      </c>
    </row>
    <row r="9">
      <c r="A9" s="4" t="inlineStr">
        <is>
          <t>Gastos financieros</t>
        </is>
      </c>
      <c r="B9" s="9" t="n">
        <v>550000</v>
      </c>
      <c r="C9" s="9" t="n">
        <v>680000</v>
      </c>
      <c r="D9" s="9">
        <f>C9-B9</f>
        <v/>
      </c>
      <c r="E9" s="8">
        <f>IF(B9=0,0,C9/B9-1)</f>
        <v/>
      </c>
      <c r="F9" s="6" t="inlineStr">
        <is>
          <t>—</t>
        </is>
      </c>
    </row>
    <row r="10">
      <c r="A10" s="4" t="inlineStr">
        <is>
          <t>Diferencia de cambio</t>
        </is>
      </c>
      <c r="B10" s="9" t="n">
        <v>-100000</v>
      </c>
      <c r="C10" s="9" t="n">
        <v>-280000</v>
      </c>
      <c r="D10" s="9">
        <f>C10-B10</f>
        <v/>
      </c>
      <c r="E10" s="8">
        <f>IF(B10=0,0,C10/B10-1)</f>
        <v/>
      </c>
      <c r="F10" s="6" t="inlineStr">
        <is>
          <t>—</t>
        </is>
      </c>
    </row>
    <row r="11">
      <c r="A11" s="11" t="inlineStr">
        <is>
          <t>EBT</t>
        </is>
      </c>
      <c r="B11" s="12" t="n">
        <v>2200000</v>
      </c>
      <c r="C11" s="12" t="n">
        <v>940000</v>
      </c>
      <c r="D11" s="12">
        <f>C11-B11</f>
        <v/>
      </c>
      <c r="E11" s="13">
        <f>IF(B11=0,0,C11/B11-1)</f>
        <v/>
      </c>
      <c r="F11" s="13">
        <f>IF($C$2=0,0,C11/$C$2)</f>
        <v/>
      </c>
    </row>
    <row r="12">
      <c r="A12" s="4" t="inlineStr">
        <is>
          <t>Impuesto a la renta 29.5%</t>
        </is>
      </c>
      <c r="B12" s="9" t="n">
        <v>649000</v>
      </c>
      <c r="C12" s="9" t="n">
        <v>277300</v>
      </c>
      <c r="D12" s="9">
        <f>C12-B12</f>
        <v/>
      </c>
      <c r="E12" s="8">
        <f>IF(B12=0,0,C12/B12-1)</f>
        <v/>
      </c>
      <c r="F12" s="6" t="inlineStr">
        <is>
          <t>—</t>
        </is>
      </c>
    </row>
    <row r="13">
      <c r="A13" s="11" t="inlineStr">
        <is>
          <t>Utilidad neta</t>
        </is>
      </c>
      <c r="B13" s="12" t="n">
        <v>1551000</v>
      </c>
      <c r="C13" s="12" t="n">
        <v>662700</v>
      </c>
      <c r="D13" s="12">
        <f>C13-B13</f>
        <v/>
      </c>
      <c r="E13" s="13">
        <f>IF(B13=0,0,C13/B13-1)</f>
        <v/>
      </c>
      <c r="F13" s="13">
        <f>IF($C$2=0,0,C13/$C$2)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0" customWidth="1" min="5" max="5"/>
  </cols>
  <sheetData>
    <row r="1">
      <c r="A1" s="10" t="inlineStr">
        <is>
          <t>Cuenta</t>
        </is>
      </c>
      <c r="B1" s="10" t="inlineStr">
        <is>
          <t>Dic-25</t>
        </is>
      </c>
      <c r="C1" s="10" t="inlineStr">
        <is>
          <t>Jun-26</t>
        </is>
      </c>
      <c r="D1" s="10" t="inlineStr">
        <is>
          <t>Var S/</t>
        </is>
      </c>
      <c r="E1" s="10" t="inlineStr">
        <is>
          <t>Var %</t>
        </is>
      </c>
    </row>
    <row r="2">
      <c r="A2" s="4" t="inlineStr">
        <is>
          <t>Caja</t>
        </is>
      </c>
      <c r="B2" s="9" t="n">
        <v>1200000</v>
      </c>
      <c r="C2" s="9" t="n">
        <v>950000</v>
      </c>
      <c r="D2" s="9">
        <f>C2-B2</f>
        <v/>
      </c>
      <c r="E2" s="8">
        <f>IF(B2=0,0,C2/B2-1)</f>
        <v/>
      </c>
    </row>
    <row r="3">
      <c r="A3" s="4" t="inlineStr">
        <is>
          <t>Cuentas por cobrar</t>
        </is>
      </c>
      <c r="B3" s="9" t="n">
        <v>6800000</v>
      </c>
      <c r="C3" s="9" t="n">
        <v>8160000</v>
      </c>
      <c r="D3" s="9">
        <f>C3-B3</f>
        <v/>
      </c>
      <c r="E3" s="8">
        <f>IF(B3=0,0,C3/B3-1)</f>
        <v/>
      </c>
    </row>
    <row r="4">
      <c r="A4" s="4" t="inlineStr">
        <is>
          <t>Inventarios</t>
        </is>
      </c>
      <c r="B4" s="9" t="n">
        <v>6650000</v>
      </c>
      <c r="C4" s="9" t="n">
        <v>7450000</v>
      </c>
      <c r="D4" s="9">
        <f>C4-B4</f>
        <v/>
      </c>
      <c r="E4" s="8">
        <f>IF(B4=0,0,C4/B4-1)</f>
        <v/>
      </c>
    </row>
    <row r="5">
      <c r="A5" s="4" t="inlineStr">
        <is>
          <t>Otros AC</t>
        </is>
      </c>
      <c r="B5" s="9" t="n">
        <v>400000</v>
      </c>
      <c r="C5" s="9" t="n">
        <v>400000</v>
      </c>
      <c r="D5" s="9">
        <f>C5-B5</f>
        <v/>
      </c>
      <c r="E5" s="8">
        <f>IF(B5=0,0,C5/B5-1)</f>
        <v/>
      </c>
    </row>
    <row r="6">
      <c r="A6" s="11" t="inlineStr">
        <is>
          <t>ACTIVO CORRIENTE</t>
        </is>
      </c>
      <c r="B6" s="12" t="n">
        <v>15050000</v>
      </c>
      <c r="C6" s="12" t="n">
        <v>16960000</v>
      </c>
      <c r="D6" s="12">
        <f>C6-B6</f>
        <v/>
      </c>
      <c r="E6" s="13">
        <f>IF(B6=0,0,C6/B6-1)</f>
        <v/>
      </c>
    </row>
    <row r="7">
      <c r="A7" s="4" t="inlineStr">
        <is>
          <t>Activo fijo neto</t>
        </is>
      </c>
      <c r="B7" s="9" t="n">
        <v>8450000</v>
      </c>
      <c r="C7" s="9" t="n">
        <v>8350000</v>
      </c>
      <c r="D7" s="9">
        <f>C7-B7</f>
        <v/>
      </c>
      <c r="E7" s="8">
        <f>IF(B7=0,0,C7/B7-1)</f>
        <v/>
      </c>
    </row>
    <row r="8">
      <c r="A8" s="11" t="inlineStr">
        <is>
          <t>TOTAL ACTIVO</t>
        </is>
      </c>
      <c r="B8" s="12" t="n">
        <v>23500000</v>
      </c>
      <c r="C8" s="12" t="n">
        <v>25310000</v>
      </c>
      <c r="D8" s="12">
        <f>C8-B8</f>
        <v/>
      </c>
      <c r="E8" s="13">
        <f>IF(B8=0,0,C8/B8-1)</f>
        <v/>
      </c>
    </row>
    <row r="9">
      <c r="A9" s="4" t="inlineStr">
        <is>
          <t>Cuentas por pagar comerciales</t>
        </is>
      </c>
      <c r="B9" s="9" t="n">
        <v>4500000</v>
      </c>
      <c r="C9" s="9" t="n">
        <v>4320000</v>
      </c>
      <c r="D9" s="9">
        <f>C9-B9</f>
        <v/>
      </c>
      <c r="E9" s="8">
        <f>IF(B9=0,0,C9/B9-1)</f>
        <v/>
      </c>
    </row>
    <row r="10">
      <c r="A10" s="4" t="inlineStr">
        <is>
          <t>Deuda CP</t>
        </is>
      </c>
      <c r="B10" s="9" t="n">
        <v>3800000</v>
      </c>
      <c r="C10" s="9" t="n">
        <v>6097300</v>
      </c>
      <c r="D10" s="9">
        <f>C10-B10</f>
        <v/>
      </c>
      <c r="E10" s="8">
        <f>IF(B10=0,0,C10/B10-1)</f>
        <v/>
      </c>
    </row>
    <row r="11">
      <c r="A11" s="4" t="inlineStr">
        <is>
          <t>Otros pasivos CP</t>
        </is>
      </c>
      <c r="B11" s="9" t="n">
        <v>1000000</v>
      </c>
      <c r="C11" s="9" t="n">
        <v>1100000</v>
      </c>
      <c r="D11" s="9">
        <f>C11-B11</f>
        <v/>
      </c>
      <c r="E11" s="8">
        <f>IF(B11=0,0,C11/B11-1)</f>
        <v/>
      </c>
    </row>
    <row r="12">
      <c r="A12" s="11" t="inlineStr">
        <is>
          <t>TOTAL PASIVO CORRIENTE</t>
        </is>
      </c>
      <c r="B12" s="12" t="n">
        <v>9300000</v>
      </c>
      <c r="C12" s="12" t="n">
        <v>11517300</v>
      </c>
      <c r="D12" s="12">
        <f>C12-B12</f>
        <v/>
      </c>
      <c r="E12" s="13">
        <f>IF(B12=0,0,C12/B12-1)</f>
        <v/>
      </c>
    </row>
    <row r="13">
      <c r="A13" s="4" t="inlineStr">
        <is>
          <t>Deuda LP</t>
        </is>
      </c>
      <c r="B13" s="9" t="n">
        <v>4970000</v>
      </c>
      <c r="C13" s="9" t="n">
        <v>3900000</v>
      </c>
      <c r="D13" s="9">
        <f>C13-B13</f>
        <v/>
      </c>
      <c r="E13" s="8">
        <f>IF(B13=0,0,C13/B13-1)</f>
        <v/>
      </c>
    </row>
    <row r="14">
      <c r="A14" s="11" t="inlineStr">
        <is>
          <t>PATRIMONIO</t>
        </is>
      </c>
      <c r="B14" s="12" t="n">
        <v>9230000</v>
      </c>
      <c r="C14" s="12" t="n">
        <v>9892700</v>
      </c>
      <c r="D14" s="12">
        <f>C14-B14</f>
        <v/>
      </c>
      <c r="E14" s="13">
        <f>IF(B14=0,0,C14/B14-1)</f>
        <v/>
      </c>
    </row>
    <row r="15">
      <c r="A15" s="11" t="inlineStr">
        <is>
          <t>TOTAL PAS+PAT</t>
        </is>
      </c>
      <c r="B15" s="12" t="n">
        <v>23500000</v>
      </c>
      <c r="C15" s="12" t="n">
        <v>25310000</v>
      </c>
      <c r="D15" s="12">
        <f>C15-B15</f>
        <v/>
      </c>
      <c r="E15" s="13">
        <f>IF(B15=0,0,C15/B15-1)</f>
        <v/>
      </c>
    </row>
    <row r="17">
      <c r="A17" s="11" t="inlineStr">
        <is>
          <t>Check: Activo − (Pas+Pat) = 0 →</t>
        </is>
      </c>
      <c r="B17" s="12">
        <f>C8-C15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10" t="inlineStr">
        <is>
          <t>KPI</t>
        </is>
      </c>
      <c r="B1" s="10" t="inlineStr">
        <is>
          <t>Dic-25</t>
        </is>
      </c>
      <c r="C1" s="10" t="inlineStr">
        <is>
          <t>Ppto H1</t>
        </is>
      </c>
      <c r="D1" s="10" t="inlineStr">
        <is>
          <t>Real H1</t>
        </is>
      </c>
      <c r="E1" s="10" t="inlineStr">
        <is>
          <t>Desv vs ppto</t>
        </is>
      </c>
      <c r="F1" s="10" t="inlineStr">
        <is>
          <t>Semáforo</t>
        </is>
      </c>
    </row>
    <row r="2">
      <c r="A2" s="4" t="inlineStr">
        <is>
          <t>DSO (días)</t>
        </is>
      </c>
      <c r="B2" s="6" t="n">
        <v>45.3</v>
      </c>
      <c r="C2" s="6" t="n">
        <v>45</v>
      </c>
      <c r="D2" s="14" t="n">
        <v>52</v>
      </c>
      <c r="E2" s="15">
        <f>D2-C2</f>
        <v/>
      </c>
      <c r="F2" s="14" t="inlineStr">
        <is>
          <t>Alerta</t>
        </is>
      </c>
    </row>
    <row r="3">
      <c r="A3" s="4" t="inlineStr">
        <is>
          <t>DIO (días)</t>
        </is>
      </c>
      <c r="B3" s="6" t="n">
        <v>58.1</v>
      </c>
      <c r="C3" s="6" t="n">
        <v>56</v>
      </c>
      <c r="D3" s="14" t="n">
        <v>61</v>
      </c>
      <c r="E3" s="15">
        <f>D3-C3</f>
        <v/>
      </c>
      <c r="F3" s="14" t="inlineStr">
        <is>
          <t>Alerta</t>
        </is>
      </c>
    </row>
    <row r="4">
      <c r="A4" s="4" t="inlineStr">
        <is>
          <t>DPO (días)</t>
        </is>
      </c>
      <c r="B4" s="6" t="n">
        <v>39.2</v>
      </c>
      <c r="C4" s="6" t="n">
        <v>34</v>
      </c>
      <c r="D4" s="14" t="n">
        <v>34.1</v>
      </c>
      <c r="E4" s="15">
        <f>D4-C4</f>
        <v/>
      </c>
      <c r="F4" s="14" t="inlineStr">
        <is>
          <t>OK</t>
        </is>
      </c>
    </row>
    <row r="5">
      <c r="A5" s="4" t="inlineStr">
        <is>
          <t>CCC (días)</t>
        </is>
      </c>
      <c r="B5" s="6" t="n">
        <v>64.2</v>
      </c>
      <c r="C5" s="6" t="n">
        <v>67</v>
      </c>
      <c r="D5" s="14" t="n">
        <v>78.8</v>
      </c>
      <c r="E5" s="15">
        <f>D5-C5</f>
        <v/>
      </c>
      <c r="F5" s="14" t="inlineStr">
        <is>
          <t>Alerta</t>
        </is>
      </c>
    </row>
    <row r="6">
      <c r="A6" s="4" t="inlineStr">
        <is>
          <t>Margen bruto %</t>
        </is>
      </c>
      <c r="B6" s="6" t="n"/>
      <c r="C6" s="6" t="n">
        <v>24</v>
      </c>
      <c r="D6" s="14" t="n">
        <v>22.1</v>
      </c>
      <c r="E6" s="15">
        <f>D6-C6</f>
        <v/>
      </c>
      <c r="F6" s="14" t="inlineStr">
        <is>
          <t>Alerta</t>
        </is>
      </c>
    </row>
    <row r="7">
      <c r="A7" s="4" t="inlineStr">
        <is>
          <t>Margen EBITDA %</t>
        </is>
      </c>
      <c r="B7" s="6" t="n"/>
      <c r="C7" s="6" t="n">
        <v>11</v>
      </c>
      <c r="D7" s="14" t="n">
        <v>8.300000000000001</v>
      </c>
      <c r="E7" s="15">
        <f>D7-C7</f>
        <v/>
      </c>
      <c r="F7" s="14" t="inlineStr">
        <is>
          <t>Alerta</t>
        </is>
      </c>
    </row>
    <row r="8">
      <c r="A8" s="4" t="inlineStr">
        <is>
          <t>Deuda total / EBITDA LTM (x)</t>
        </is>
      </c>
      <c r="B8" s="6" t="n">
        <v>1.45</v>
      </c>
      <c r="C8" s="6" t="n">
        <v>1.4</v>
      </c>
      <c r="D8" s="14" t="n">
        <v>1.8</v>
      </c>
      <c r="E8" s="15">
        <f>D8-C8</f>
        <v/>
      </c>
      <c r="F8" s="14" t="inlineStr">
        <is>
          <t>Alerta</t>
        </is>
      </c>
    </row>
    <row r="9">
      <c r="A9" s="4" t="inlineStr">
        <is>
          <t>Cobertura intereses (x)</t>
        </is>
      </c>
      <c r="B9" s="6" t="n">
        <v>4.8</v>
      </c>
      <c r="C9" s="6" t="n">
        <v>4.5</v>
      </c>
      <c r="D9" s="14" t="n">
        <v>3.6</v>
      </c>
      <c r="E9" s="15">
        <f>D9-C9</f>
        <v/>
      </c>
      <c r="F9" s="14" t="inlineStr">
        <is>
          <t>Alerta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10" t="inlineStr">
        <is>
          <t>Paso</t>
        </is>
      </c>
      <c r="B1" s="10" t="inlineStr">
        <is>
          <t>Monto (S/)</t>
        </is>
      </c>
      <c r="C1" s="10" t="inlineStr">
        <is>
          <t>Acumulado</t>
        </is>
      </c>
    </row>
    <row r="2">
      <c r="A2" s="11" t="inlineStr">
        <is>
          <t>EBITDA ppto</t>
        </is>
      </c>
      <c r="B2" s="12" t="n">
        <v>3300000</v>
      </c>
      <c r="C2" s="12" t="n">
        <v>3300000</v>
      </c>
    </row>
    <row r="3">
      <c r="A3" s="4" t="inlineStr">
        <is>
          <t>Efecto volumen (margen std 24%)</t>
        </is>
      </c>
      <c r="B3" s="9" t="n">
        <v>-264000</v>
      </c>
      <c r="C3" s="9" t="n">
        <v>3036000</v>
      </c>
    </row>
    <row r="4">
      <c r="A4" s="4" t="inlineStr">
        <is>
          <t>Efecto precio / mix / descuento</t>
        </is>
      </c>
      <c r="B4" s="9" t="n">
        <v>-144000</v>
      </c>
      <c r="C4" s="9" t="n">
        <v>2892000</v>
      </c>
    </row>
    <row r="5">
      <c r="A5" s="4" t="inlineStr">
        <is>
          <t>Costo FX (TC 3.72-&gt;3.81)</t>
        </is>
      </c>
      <c r="B5" s="9" t="n">
        <v>-300000</v>
      </c>
      <c r="C5" s="9" t="n">
        <v>2592000</v>
      </c>
    </row>
    <row r="6">
      <c r="A6" s="4" t="inlineStr">
        <is>
          <t>Otros costos</t>
        </is>
      </c>
      <c r="B6" s="9" t="n">
        <v>-239600</v>
      </c>
      <c r="C6" s="9" t="n">
        <v>2352400</v>
      </c>
    </row>
    <row r="7">
      <c r="A7" s="4" t="inlineStr">
        <is>
          <t>Opex neto</t>
        </is>
      </c>
      <c r="B7" s="9" t="n">
        <v>-2400</v>
      </c>
      <c r="C7" s="9" t="n">
        <v>2350000</v>
      </c>
    </row>
    <row r="8">
      <c r="A8" s="11" t="inlineStr">
        <is>
          <t>EBITDA real H1</t>
        </is>
      </c>
      <c r="B8" s="12" t="n">
        <v>2350000</v>
      </c>
      <c r="C8" s="12" t="n">
        <v>2350000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Flujo de caja H1 indirecto (S/) — ata Δcaja -250k</t>
        </is>
      </c>
    </row>
    <row r="2">
      <c r="A2" s="10" t="inlineStr">
        <is>
          <t>Concepto</t>
        </is>
      </c>
      <c r="B2" s="10" t="inlineStr">
        <is>
          <t>Monto</t>
        </is>
      </c>
      <c r="C2" s="10" t="inlineStr">
        <is>
          <t>Check</t>
        </is>
      </c>
    </row>
    <row r="3">
      <c r="A3" s="4" t="inlineStr">
        <is>
          <t>Utilidad neta</t>
        </is>
      </c>
      <c r="B3" s="9" t="n">
        <v>662700</v>
      </c>
      <c r="C3" s="6" t="n"/>
    </row>
    <row r="4">
      <c r="A4" s="4" t="inlineStr">
        <is>
          <t>Depreciación</t>
        </is>
      </c>
      <c r="B4" s="9" t="n">
        <v>450000</v>
      </c>
      <c r="C4" s="6" t="n"/>
    </row>
    <row r="5">
      <c r="A5" s="4" t="inlineStr">
        <is>
          <t>Δ Cuentas por cobrar</t>
        </is>
      </c>
      <c r="B5" s="9" t="n">
        <v>-1360000</v>
      </c>
      <c r="C5" s="6" t="n"/>
    </row>
    <row r="6">
      <c r="A6" s="4" t="inlineStr">
        <is>
          <t>Δ Inventarios</t>
        </is>
      </c>
      <c r="B6" s="9" t="n">
        <v>-800000</v>
      </c>
      <c r="C6" s="6" t="n"/>
    </row>
    <row r="7">
      <c r="A7" s="4" t="inlineStr">
        <is>
          <t>Δ Cuentas por pagar comerciales</t>
        </is>
      </c>
      <c r="B7" s="9" t="n">
        <v>-180000</v>
      </c>
      <c r="C7" s="6" t="n"/>
    </row>
    <row r="8">
      <c r="A8" s="4" t="inlineStr">
        <is>
          <t>Δ Otros pasivos CP</t>
        </is>
      </c>
      <c r="B8" s="9" t="n">
        <v>100000</v>
      </c>
      <c r="C8" s="6" t="n"/>
    </row>
    <row r="9">
      <c r="A9" s="11" t="inlineStr">
        <is>
          <t>FLUJO OPERATIVO</t>
        </is>
      </c>
      <c r="B9" s="12" t="n">
        <v>-1127300</v>
      </c>
      <c r="C9" s="6">
        <f>SUM(B3:B8)</f>
        <v/>
      </c>
    </row>
    <row r="10">
      <c r="A10" s="4" t="inlineStr">
        <is>
          <t>Capex</t>
        </is>
      </c>
      <c r="B10" s="9" t="n">
        <v>-350000</v>
      </c>
      <c r="C10" s="6" t="n"/>
    </row>
    <row r="11">
      <c r="A11" s="4" t="inlineStr">
        <is>
          <t>Δ Deuda CP</t>
        </is>
      </c>
      <c r="B11" s="9" t="n">
        <v>2297300</v>
      </c>
      <c r="C11" s="6" t="n"/>
    </row>
    <row r="12">
      <c r="A12" s="4" t="inlineStr">
        <is>
          <t>Δ Deuda LP</t>
        </is>
      </c>
      <c r="B12" s="9" t="n">
        <v>-1070000</v>
      </c>
      <c r="C12" s="6" t="n"/>
    </row>
    <row r="13">
      <c r="A13" s="4" t="inlineStr">
        <is>
          <t>Δ CAJA (dic-&gt;jun)</t>
        </is>
      </c>
      <c r="B13" s="9" t="n">
        <v>-250000</v>
      </c>
      <c r="C13" s="6">
        <f>B9+B10+B11+B12+B13</f>
        <v/>
      </c>
    </row>
    <row r="14">
      <c r="A14" s="11" t="inlineStr">
        <is>
          <t>Check FCO (debe dar 0)</t>
        </is>
      </c>
      <c r="B14" s="12">
        <f>C9-B9</f>
        <v/>
      </c>
    </row>
    <row r="15">
      <c r="A15" s="11" t="inlineStr">
        <is>
          <t>Check caja (debe dar 0)</t>
        </is>
      </c>
      <c r="B15" s="12">
        <f>C13-B13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2" t="inlineStr">
        <is>
          <t>Deuda total fin de mes jul-dic 2026 base (S/) — supuesto, pico octubre</t>
        </is>
      </c>
    </row>
    <row r="2">
      <c r="A2" s="10" t="inlineStr">
        <is>
          <t>Mes</t>
        </is>
      </c>
      <c r="B2" s="10" t="inlineStr">
        <is>
          <t>Deuda fin de mes</t>
        </is>
      </c>
    </row>
    <row r="3">
      <c r="A3" s="4" t="inlineStr">
        <is>
          <t>Jul</t>
        </is>
      </c>
      <c r="B3" s="9" t="n">
        <v>10400000</v>
      </c>
    </row>
    <row r="4">
      <c r="A4" s="4" t="inlineStr">
        <is>
          <t>Ago</t>
        </is>
      </c>
      <c r="B4" s="9" t="n">
        <v>10700000</v>
      </c>
    </row>
    <row r="5">
      <c r="A5" s="4" t="inlineStr">
        <is>
          <t>Sep</t>
        </is>
      </c>
      <c r="B5" s="9" t="n">
        <v>10900000</v>
      </c>
    </row>
    <row r="6">
      <c r="A6" s="4" t="inlineStr">
        <is>
          <t>Oct</t>
        </is>
      </c>
      <c r="B6" s="12" t="n">
        <v>11200000</v>
      </c>
    </row>
    <row r="7">
      <c r="A7" s="4" t="inlineStr">
        <is>
          <t>Nov</t>
        </is>
      </c>
      <c r="B7" s="9" t="n">
        <v>10600000</v>
      </c>
    </row>
    <row r="8">
      <c r="A8" s="4" t="inlineStr">
        <is>
          <t>Dic</t>
        </is>
      </c>
      <c r="B8" s="9" t="n">
        <v>10000000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30" customWidth="1" min="4" max="4"/>
    <col width="30" customWidth="1" min="5" max="5"/>
  </cols>
  <sheetData>
    <row r="1">
      <c r="A1" s="2" t="inlineStr">
        <is>
          <t>Exposición cambiaria (jun-26)</t>
        </is>
      </c>
    </row>
    <row r="2">
      <c r="A2" s="4" t="inlineStr">
        <is>
          <t>CxP exterior (USD)</t>
        </is>
      </c>
      <c r="B2" s="9" t="n">
        <v>1350000</v>
      </c>
    </row>
    <row r="3">
      <c r="A3" s="4" t="inlineStr">
        <is>
          <t>Caja USD</t>
        </is>
      </c>
      <c r="B3" s="9" t="n">
        <v>-250000</v>
      </c>
    </row>
    <row r="4">
      <c r="A4" s="4" t="inlineStr">
        <is>
          <t>Exposición neta pasiva (USD)</t>
        </is>
      </c>
      <c r="B4" s="9" t="n">
        <v>1100000</v>
      </c>
    </row>
    <row r="5">
      <c r="A5" s="4" t="inlineStr">
        <is>
          <t>Sensibilidad por 10 cts (PEN)</t>
        </is>
      </c>
      <c r="B5" s="9" t="n">
        <v>110000</v>
      </c>
    </row>
    <row r="6">
      <c r="A6" s="4" t="inlineStr">
        <is>
          <t>% sobre utilidad neta H1</t>
        </is>
      </c>
      <c r="B6" s="9" t="n">
        <v>16.6</v>
      </c>
    </row>
    <row r="8">
      <c r="A8" s="2" t="inlineStr">
        <is>
          <t>Forecast FY26 — escenario base con plan de acción</t>
        </is>
      </c>
    </row>
    <row r="9">
      <c r="A9" s="10" t="inlineStr">
        <is>
          <t>Concepto</t>
        </is>
      </c>
      <c r="B9" s="10" t="inlineStr">
        <is>
          <t>Ppto FY</t>
        </is>
      </c>
      <c r="C9" s="10" t="inlineStr">
        <is>
          <t>Base FY</t>
        </is>
      </c>
      <c r="D9" s="10" t="inlineStr">
        <is>
          <t>Desvío</t>
        </is>
      </c>
    </row>
    <row r="10">
      <c r="A10" s="4" t="inlineStr">
        <is>
          <t>Ventas</t>
        </is>
      </c>
      <c r="B10" s="9" t="n">
        <v>60200000</v>
      </c>
      <c r="C10" s="9" t="n">
        <v>58500000</v>
      </c>
      <c r="D10" s="9">
        <f>C10-B10</f>
        <v/>
      </c>
    </row>
    <row r="11">
      <c r="A11" s="4" t="inlineStr">
        <is>
          <t>EBITDA</t>
        </is>
      </c>
      <c r="B11" s="9" t="n">
        <v>6700000</v>
      </c>
      <c r="C11" s="9" t="n">
        <v>5400000</v>
      </c>
      <c r="D11" s="9">
        <f>C11-B11</f>
        <v/>
      </c>
    </row>
    <row r="12">
      <c r="A12" s="4" t="inlineStr">
        <is>
          <t>Utilidad neta</t>
        </is>
      </c>
      <c r="B12" s="9" t="n">
        <v>3100000</v>
      </c>
      <c r="C12" s="9" t="n">
        <v>1700000</v>
      </c>
      <c r="D12" s="9">
        <f>C12-B12</f>
        <v/>
      </c>
    </row>
    <row r="13">
      <c r="A13" s="4" t="inlineStr">
        <is>
          <t>Pico deuda octubre (base)</t>
        </is>
      </c>
      <c r="B13" s="9" t="n">
        <v>11200000</v>
      </c>
    </row>
    <row r="14">
      <c r="A14" s="4" t="inlineStr">
        <is>
          <t>Línea adicional propuesta</t>
        </is>
      </c>
      <c r="B14" s="9" t="n">
        <v>2500000</v>
      </c>
    </row>
    <row r="16">
      <c r="A16" s="2" t="inlineStr">
        <is>
          <t>Plan de acción (efectos 2H)</t>
        </is>
      </c>
    </row>
    <row r="17">
      <c r="A17" s="10" t="inlineStr">
        <is>
          <t>ID</t>
        </is>
      </c>
      <c r="B17" s="10" t="inlineStr">
        <is>
          <t>Acción</t>
        </is>
      </c>
      <c r="C17" s="10" t="inlineStr">
        <is>
          <t>Efecto caja</t>
        </is>
      </c>
      <c r="D17" s="10" t="inlineStr">
        <is>
          <t>Efecto PyG</t>
        </is>
      </c>
      <c r="E17" s="10" t="inlineStr">
        <is>
          <t>KPI</t>
        </is>
      </c>
    </row>
    <row r="18">
      <c r="A18" s="4" t="inlineStr">
        <is>
          <t>A1</t>
        </is>
      </c>
      <c r="B18" s="4" t="inlineStr">
        <is>
          <t>Cobranza institucional + pronto pago</t>
        </is>
      </c>
      <c r="C18" s="9" t="n">
        <v>950000</v>
      </c>
      <c r="D18" s="4" t="inlineStr">
        <is>
          <t>- S/ 60k descuento financiero</t>
        </is>
      </c>
      <c r="E18" s="4" t="inlineStr">
        <is>
          <t>DSO 52 -&gt; 46 dias</t>
        </is>
      </c>
    </row>
    <row r="19">
      <c r="A19" s="4" t="inlineStr">
        <is>
          <t>A2</t>
        </is>
      </c>
      <c r="B19" s="4" t="inlineStr">
        <is>
          <t>Ajuste lista de precios 2H (+2%)</t>
        </is>
      </c>
      <c r="C19" s="9" t="n">
        <v>550000</v>
      </c>
      <c r="D19" s="4" t="inlineStr">
        <is>
          <t>+ S/ 550k margen</t>
        </is>
      </c>
      <c r="E19" s="4" t="inlineStr">
        <is>
          <t>Margen bruto +90 pbs en 2H</t>
        </is>
      </c>
    </row>
    <row r="20">
      <c r="A20" s="4" t="inlineStr">
        <is>
          <t>A3</t>
        </is>
      </c>
      <c r="B20" s="4" t="inlineStr">
        <is>
          <t>Recorte compra hogar -15%</t>
        </is>
      </c>
      <c r="C20" s="9" t="n">
        <v>700000</v>
      </c>
      <c r="D20" s="4" t="inlineStr">
        <is>
          <t>neutro</t>
        </is>
      </c>
      <c r="E20" s="4" t="inlineStr">
        <is>
          <t>DIO 61 -&gt; 55 dias</t>
        </is>
      </c>
    </row>
    <row r="21">
      <c r="A21" s="4" t="inlineStr">
        <is>
          <t>A4</t>
        </is>
      </c>
      <c r="B21" s="4" t="inlineStr">
        <is>
          <t>Forward 50% exposicion 90 dias</t>
        </is>
      </c>
      <c r="C21" s="9" t="n">
        <v>0</v>
      </c>
      <c r="D21" s="4" t="inlineStr">
        <is>
          <t>acota riesgo 110k -&gt; 55k por 10 cts</t>
        </is>
      </c>
      <c r="E21" s="4" t="inlineStr">
        <is>
          <t>Exposicion neta USD 1.10M -&gt; 0.55M</t>
        </is>
      </c>
    </row>
    <row r="22">
      <c r="A22" s="4" t="inlineStr">
        <is>
          <t>A5</t>
        </is>
      </c>
      <c r="B22" s="4" t="inlineStr">
        <is>
          <t>Linea revolvente +S/ 2.5M</t>
        </is>
      </c>
      <c r="C22" s="9" t="n">
        <v>2500000</v>
      </c>
      <c r="D22" s="4" t="inlineStr">
        <is>
          <t>- S/ 90k intereses 2H</t>
        </is>
      </c>
      <c r="E22" s="4" t="inlineStr">
        <is>
          <t>Cubre pico de octubre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Comparativo H1-2025 vs H1-2026 (S/) — like-for-like</t>
        </is>
      </c>
    </row>
    <row r="2">
      <c r="A2" s="10" t="inlineStr">
        <is>
          <t>Cuenta</t>
        </is>
      </c>
      <c r="B2" s="10" t="inlineStr">
        <is>
          <t>H1-2025</t>
        </is>
      </c>
      <c r="C2" s="10" t="inlineStr">
        <is>
          <t>H1-2026 real</t>
        </is>
      </c>
      <c r="D2" s="10" t="inlineStr">
        <is>
          <t>Var YoY</t>
        </is>
      </c>
      <c r="E2" s="10" t="inlineStr">
        <is>
          <t>Var %</t>
        </is>
      </c>
    </row>
    <row r="3">
      <c r="A3" s="4" t="inlineStr">
        <is>
          <t>Ventas netas</t>
        </is>
      </c>
      <c r="B3" s="9" t="n">
        <v>26900000</v>
      </c>
      <c r="C3" s="9" t="n">
        <v>28400000</v>
      </c>
      <c r="D3" s="9">
        <f>C3-B3</f>
        <v/>
      </c>
      <c r="E3" s="8">
        <f>IF(B3=0,0,C3/B3-1)</f>
        <v/>
      </c>
    </row>
    <row r="4">
      <c r="A4" s="4" t="inlineStr">
        <is>
          <t>Costo de ventas</t>
        </is>
      </c>
      <c r="B4" s="9" t="n">
        <v>20659200</v>
      </c>
      <c r="C4" s="9" t="n">
        <v>22123600</v>
      </c>
      <c r="D4" s="9">
        <f>C4-B4</f>
        <v/>
      </c>
      <c r="E4" s="8">
        <f>IF(B4=0,0,C4/B4-1)</f>
        <v/>
      </c>
    </row>
    <row r="5">
      <c r="A5" s="11" t="inlineStr">
        <is>
          <t>Utilidad bruta</t>
        </is>
      </c>
      <c r="B5" s="12" t="n">
        <v>6240800</v>
      </c>
      <c r="C5" s="12" t="n">
        <v>6276400</v>
      </c>
      <c r="D5" s="12">
        <f>C5-B5</f>
        <v/>
      </c>
      <c r="E5" s="13">
        <f>IF(B5=0,0,C5/B5-1)</f>
        <v/>
      </c>
    </row>
    <row r="6">
      <c r="A6" s="4" t="inlineStr">
        <is>
          <t>Gastos operativos</t>
        </is>
      </c>
      <c r="B6" s="9" t="n">
        <v>3480000</v>
      </c>
      <c r="C6" s="9" t="n">
        <v>3926400</v>
      </c>
      <c r="D6" s="9">
        <f>C6-B6</f>
        <v/>
      </c>
      <c r="E6" s="8">
        <f>IF(B6=0,0,C6/B6-1)</f>
        <v/>
      </c>
    </row>
    <row r="7">
      <c r="A7" s="11" t="inlineStr">
        <is>
          <t>EBITDA</t>
        </is>
      </c>
      <c r="B7" s="12" t="n">
        <v>2760800</v>
      </c>
      <c r="C7" s="12" t="n">
        <v>2350000</v>
      </c>
      <c r="D7" s="12">
        <f>C7-B7</f>
        <v/>
      </c>
      <c r="E7" s="13">
        <f>IF(B7=0,0,C7/B7-1)</f>
        <v/>
      </c>
    </row>
    <row r="8">
      <c r="A8" s="11" t="inlineStr">
        <is>
          <t>Utilidad neta</t>
        </is>
      </c>
      <c r="B8" s="12" t="n">
        <v>1192014</v>
      </c>
      <c r="C8" s="12" t="n">
        <v>662700</v>
      </c>
      <c r="D8" s="12">
        <f>C8-B8</f>
        <v/>
      </c>
      <c r="E8" s="13">
        <f>IF(B8=0,0,C8/B8-1)</f>
        <v/>
      </c>
    </row>
    <row r="10">
      <c r="A10" s="2" t="inlineStr">
        <is>
          <t>Por canal — ventas (S/)</t>
        </is>
      </c>
    </row>
    <row r="11">
      <c r="A11" s="10" t="inlineStr">
        <is>
          <t>Canal</t>
        </is>
      </c>
      <c r="B11" s="10" t="inlineStr">
        <is>
          <t>H1-2025</t>
        </is>
      </c>
      <c r="C11" s="10" t="inlineStr">
        <is>
          <t>H1-2026 real</t>
        </is>
      </c>
      <c r="D11" s="10" t="inlineStr">
        <is>
          <t>Var YoY</t>
        </is>
      </c>
      <c r="E11" s="10" t="inlineStr">
        <is>
          <t>Ppto H1</t>
        </is>
      </c>
      <c r="F11" s="10" t="inlineStr">
        <is>
          <t>Vs ppto</t>
        </is>
      </c>
    </row>
    <row r="12">
      <c r="A12" s="4" t="inlineStr">
        <is>
          <t>Mayorista</t>
        </is>
      </c>
      <c r="B12" s="9" t="n">
        <v>12600000</v>
      </c>
      <c r="C12" s="9" t="n">
        <v>13314000</v>
      </c>
      <c r="D12" s="9">
        <f>C12-B12</f>
        <v/>
      </c>
      <c r="E12" s="9" t="n">
        <v>13545000</v>
      </c>
      <c r="F12" s="9">
        <f>C12-E12</f>
        <v/>
      </c>
    </row>
    <row r="13">
      <c r="A13" s="4" t="inlineStr">
        <is>
          <t>Minorista</t>
        </is>
      </c>
      <c r="B13" s="9" t="n">
        <v>9400000</v>
      </c>
      <c r="C13" s="9" t="n">
        <v>9942000</v>
      </c>
      <c r="D13" s="9">
        <f>C13-B13</f>
        <v/>
      </c>
      <c r="E13" s="9" t="n">
        <v>10535000</v>
      </c>
      <c r="F13" s="9">
        <f>C13-E13</f>
        <v/>
      </c>
    </row>
    <row r="14">
      <c r="A14" s="4" t="inlineStr">
        <is>
          <t>Institucional</t>
        </is>
      </c>
      <c r="B14" s="9" t="n">
        <v>4900000</v>
      </c>
      <c r="C14" s="9" t="n">
        <v>5144000</v>
      </c>
      <c r="D14" s="9">
        <f>C14-B14</f>
        <v/>
      </c>
      <c r="E14" s="9" t="n">
        <v>6020000</v>
      </c>
      <c r="F14" s="9">
        <f>C14-E14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10" t="inlineStr">
        <is>
          <t>Paso</t>
        </is>
      </c>
      <c r="B1" s="10" t="inlineStr">
        <is>
          <t>Monto (S/)</t>
        </is>
      </c>
      <c r="C1" s="10" t="inlineStr">
        <is>
          <t>Acumulado</t>
        </is>
      </c>
    </row>
    <row r="2">
      <c r="A2" s="11" t="inlineStr">
        <is>
          <t>Ventas ppto</t>
        </is>
      </c>
      <c r="B2" s="12" t="n">
        <v>30100000</v>
      </c>
      <c r="C2" s="12" t="n">
        <v>30100000</v>
      </c>
    </row>
    <row r="3">
      <c r="A3" s="4" t="inlineStr">
        <is>
          <t>Efecto volumen</t>
        </is>
      </c>
      <c r="B3" s="9" t="n">
        <v>-1100000</v>
      </c>
      <c r="C3" s="9" t="n">
        <v>29000000</v>
      </c>
    </row>
    <row r="4">
      <c r="A4" s="4" t="inlineStr">
        <is>
          <t>Efecto precio (+2% lista parcial)</t>
        </is>
      </c>
      <c r="B4" s="9" t="n">
        <v>250000</v>
      </c>
      <c r="C4" s="9" t="n">
        <v>29250000</v>
      </c>
    </row>
    <row r="5">
      <c r="A5" s="4" t="inlineStr">
        <is>
          <t>Efecto mix canal/linea</t>
        </is>
      </c>
      <c r="B5" s="9" t="n">
        <v>-450000</v>
      </c>
      <c r="C5" s="9" t="n">
        <v>28800000</v>
      </c>
    </row>
    <row r="6">
      <c r="A6" s="4" t="inlineStr">
        <is>
          <t>Descuento comercial defensivo</t>
        </is>
      </c>
      <c r="B6" s="9" t="n">
        <v>-400000</v>
      </c>
      <c r="C6" s="9" t="n">
        <v>28400000</v>
      </c>
    </row>
    <row r="7">
      <c r="A7" s="11" t="inlineStr">
        <is>
          <t>Ventas real H1</t>
        </is>
      </c>
      <c r="B7" s="12" t="n">
        <v>28400000</v>
      </c>
      <c r="C7" s="12" t="n">
        <v>28400000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s="2" t="inlineStr">
        <is>
          <t>Drill-down cobranza — CxC Institucional S/ 2.00M por cliente y aging (S/)</t>
        </is>
      </c>
    </row>
    <row r="2">
      <c r="A2" s="10" t="inlineStr">
        <is>
          <t>Cliente</t>
        </is>
      </c>
      <c r="B2" s="10" t="inlineStr">
        <is>
          <t>Corriente</t>
        </is>
      </c>
      <c r="C2" s="10" t="inlineStr">
        <is>
          <t>31-60</t>
        </is>
      </c>
      <c r="D2" s="10" t="inlineStr">
        <is>
          <t>61-90</t>
        </is>
      </c>
      <c r="E2" s="10" t="inlineStr">
        <is>
          <t>90+</t>
        </is>
      </c>
      <c r="F2" s="10" t="inlineStr">
        <is>
          <t>Total</t>
        </is>
      </c>
      <c r="G2" s="10" t="inlineStr">
        <is>
          <t>DSO (d)</t>
        </is>
      </c>
      <c r="H2" s="10" t="inlineStr">
        <is>
          <t>Mora 60+</t>
        </is>
      </c>
    </row>
    <row r="3">
      <c r="A3" s="4" t="inlineStr">
        <is>
          <t>Municipalidad de San Juan</t>
        </is>
      </c>
      <c r="B3" s="9" t="n">
        <v>300000</v>
      </c>
      <c r="C3" s="9" t="n">
        <v>150000</v>
      </c>
      <c r="D3" s="9" t="n">
        <v>70000</v>
      </c>
      <c r="E3" s="9" t="n">
        <v>0</v>
      </c>
      <c r="F3" s="12">
        <f>SUM(B3:E3)</f>
        <v/>
      </c>
      <c r="G3" s="15" t="n">
        <v>18.3</v>
      </c>
      <c r="H3" s="9">
        <f>D3+E3</f>
        <v/>
      </c>
    </row>
    <row r="4">
      <c r="A4" s="4" t="inlineStr">
        <is>
          <t>Red Salud Norte</t>
        </is>
      </c>
      <c r="B4" s="9" t="n">
        <v>200000</v>
      </c>
      <c r="C4" s="9" t="n">
        <v>120000</v>
      </c>
      <c r="D4" s="9" t="n">
        <v>60000</v>
      </c>
      <c r="E4" s="9" t="n">
        <v>30000</v>
      </c>
      <c r="F4" s="12">
        <f>SUM(B4:E4)</f>
        <v/>
      </c>
      <c r="G4" s="15" t="n">
        <v>14.4</v>
      </c>
      <c r="H4" s="9">
        <f>D4+E4</f>
        <v/>
      </c>
    </row>
    <row r="5">
      <c r="A5" s="4" t="inlineStr">
        <is>
          <t>EduCorp S.A.</t>
        </is>
      </c>
      <c r="B5" s="9" t="n">
        <v>250000</v>
      </c>
      <c r="C5" s="9" t="n">
        <v>80000</v>
      </c>
      <c r="D5" s="9" t="n">
        <v>20000</v>
      </c>
      <c r="E5" s="9" t="n">
        <v>0</v>
      </c>
      <c r="F5" s="12">
        <f>SUM(B5:E5)</f>
        <v/>
      </c>
      <c r="G5" s="15" t="n">
        <v>12.3</v>
      </c>
      <c r="H5" s="9">
        <f>D5+E5</f>
        <v/>
      </c>
    </row>
    <row r="6">
      <c r="A6" s="4" t="inlineStr">
        <is>
          <t>Minera Cascajal</t>
        </is>
      </c>
      <c r="B6" s="9" t="n">
        <v>280000</v>
      </c>
      <c r="C6" s="9" t="n">
        <v>0</v>
      </c>
      <c r="D6" s="9" t="n">
        <v>0</v>
      </c>
      <c r="E6" s="9" t="n">
        <v>0</v>
      </c>
      <c r="F6" s="12">
        <f>SUM(B6:E6)</f>
        <v/>
      </c>
      <c r="G6" s="15" t="n">
        <v>9.9</v>
      </c>
      <c r="H6" s="9">
        <f>D6+E6</f>
        <v/>
      </c>
    </row>
    <row r="7">
      <c r="A7" s="4" t="inlineStr">
        <is>
          <t>Agroindustrial del Valle</t>
        </is>
      </c>
      <c r="B7" s="9" t="n">
        <v>100000</v>
      </c>
      <c r="C7" s="9" t="n">
        <v>50000</v>
      </c>
      <c r="D7" s="9" t="n">
        <v>30000</v>
      </c>
      <c r="E7" s="9" t="n">
        <v>0</v>
      </c>
      <c r="F7" s="12">
        <f>SUM(B7:E7)</f>
        <v/>
      </c>
      <c r="G7" s="15" t="n">
        <v>6.3</v>
      </c>
      <c r="H7" s="9">
        <f>D7+E7</f>
        <v/>
      </c>
    </row>
    <row r="8">
      <c r="A8" s="4" t="inlineStr">
        <is>
          <t>Constructora VialSur</t>
        </is>
      </c>
      <c r="B8" s="9" t="n">
        <v>40000</v>
      </c>
      <c r="C8" s="9" t="n">
        <v>30000</v>
      </c>
      <c r="D8" s="9" t="n">
        <v>20000</v>
      </c>
      <c r="E8" s="9" t="n">
        <v>30000</v>
      </c>
      <c r="F8" s="12">
        <f>SUM(B8:E8)</f>
        <v/>
      </c>
      <c r="G8" s="15" t="n">
        <v>4.2</v>
      </c>
      <c r="H8" s="9">
        <f>D8+E8</f>
        <v/>
      </c>
    </row>
    <row r="9">
      <c r="A9" s="4" t="inlineStr">
        <is>
          <t>Gobierno Regional</t>
        </is>
      </c>
      <c r="B9" s="9" t="n">
        <v>0</v>
      </c>
      <c r="C9" s="9" t="n">
        <v>20000</v>
      </c>
      <c r="D9" s="9" t="n">
        <v>30000</v>
      </c>
      <c r="E9" s="9" t="n">
        <v>40000</v>
      </c>
      <c r="F9" s="12">
        <f>SUM(B9:E9)</f>
        <v/>
      </c>
      <c r="G9" s="15" t="n">
        <v>3.2</v>
      </c>
      <c r="H9" s="9">
        <f>D9+E9</f>
        <v/>
      </c>
    </row>
    <row r="10">
      <c r="A10" s="4" t="inlineStr">
        <is>
          <t>Otros menores</t>
        </is>
      </c>
      <c r="B10" s="9" t="n">
        <v>30000</v>
      </c>
      <c r="C10" s="9" t="n">
        <v>20000</v>
      </c>
      <c r="D10" s="9" t="n">
        <v>0</v>
      </c>
      <c r="E10" s="9" t="n">
        <v>0</v>
      </c>
      <c r="F10" s="12">
        <f>SUM(B10:E10)</f>
        <v/>
      </c>
      <c r="G10" s="15" t="n">
        <v>1.8</v>
      </c>
      <c r="H10" s="9">
        <f>D10+E10</f>
        <v/>
      </c>
    </row>
    <row r="11">
      <c r="A11" s="11" t="inlineStr">
        <is>
          <t>TOTAL</t>
        </is>
      </c>
      <c r="B11" s="12">
        <f>SUM(B3:B10)</f>
        <v/>
      </c>
      <c r="C11" s="12">
        <f>SUM(C3:C10)</f>
        <v/>
      </c>
      <c r="D11" s="12">
        <f>SUM(D3:D10)</f>
        <v/>
      </c>
      <c r="E11" s="12">
        <f>SUM(E3:E10)</f>
        <v/>
      </c>
      <c r="F11" s="12">
        <f>SUM(F3:F10)</f>
        <v/>
      </c>
      <c r="H11" s="12">
        <f>SUM(H3:H10)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0" customWidth="1" min="4" max="4"/>
    <col width="14" customWidth="1" min="5" max="5"/>
    <col width="12" customWidth="1" min="6" max="6"/>
    <col width="13" customWidth="1" min="7" max="7"/>
  </cols>
  <sheetData>
    <row r="1">
      <c r="A1" s="2" t="inlineStr">
        <is>
          <t>Drill-down inventarios — linea Hogar S/ 3.35M por SKU</t>
        </is>
      </c>
    </row>
    <row r="2">
      <c r="A2" s="10" t="inlineStr">
        <is>
          <t>SKU</t>
        </is>
      </c>
      <c r="B2" s="10" t="inlineStr">
        <is>
          <t>Descripcion</t>
        </is>
      </c>
      <c r="C2" s="10" t="inlineStr">
        <is>
          <t>Stock (u)</t>
        </is>
      </c>
      <c r="D2" s="10" t="inlineStr">
        <is>
          <t>Costo u</t>
        </is>
      </c>
      <c r="E2" s="10" t="inlineStr">
        <is>
          <t>Valorizado</t>
        </is>
      </c>
      <c r="F2" s="10" t="inlineStr">
        <is>
          <t>Vta/mes (u)</t>
        </is>
      </c>
      <c r="G2" s="10" t="inlineStr">
        <is>
          <t>Cobertura (m)</t>
        </is>
      </c>
    </row>
    <row r="3">
      <c r="A3" s="4" t="inlineStr">
        <is>
          <t>HOG-014</t>
        </is>
      </c>
      <c r="B3" s="4" t="inlineStr">
        <is>
          <t>Detergente industrial 20kg</t>
        </is>
      </c>
      <c r="C3" s="6" t="n">
        <v>14000</v>
      </c>
      <c r="D3" s="6" t="n">
        <v>18.5</v>
      </c>
      <c r="E3" s="9" t="n">
        <v>259000</v>
      </c>
      <c r="F3" s="6" t="n">
        <v>3200</v>
      </c>
      <c r="G3" s="15" t="n">
        <v>4.4</v>
      </c>
    </row>
    <row r="4">
      <c r="A4" s="4" t="inlineStr">
        <is>
          <t>HOG-022</t>
        </is>
      </c>
      <c r="B4" s="4" t="inlineStr">
        <is>
          <t>Jabon liquido 5L</t>
        </is>
      </c>
      <c r="C4" s="6" t="n">
        <v>22000</v>
      </c>
      <c r="D4" s="6" t="n">
        <v>12.8</v>
      </c>
      <c r="E4" s="9" t="n">
        <v>281600</v>
      </c>
      <c r="F4" s="6" t="n">
        <v>4800</v>
      </c>
      <c r="G4" s="15" t="n">
        <v>4.6</v>
      </c>
    </row>
    <row r="5">
      <c r="A5" s="4" t="inlineStr">
        <is>
          <t>HOG-031</t>
        </is>
      </c>
      <c r="B5" s="4" t="inlineStr">
        <is>
          <t>Papel toalla x12</t>
        </is>
      </c>
      <c r="C5" s="6" t="n">
        <v>30000</v>
      </c>
      <c r="D5" s="6" t="n">
        <v>9.4</v>
      </c>
      <c r="E5" s="9" t="n">
        <v>282000</v>
      </c>
      <c r="F5" s="6" t="n">
        <v>7500</v>
      </c>
      <c r="G5" s="15" t="n">
        <v>4</v>
      </c>
    </row>
    <row r="6">
      <c r="A6" s="4" t="inlineStr">
        <is>
          <t>HOG-007</t>
        </is>
      </c>
      <c r="B6" s="4" t="inlineStr">
        <is>
          <t>Desinfectante 1L</t>
        </is>
      </c>
      <c r="C6" s="6" t="n">
        <v>45000</v>
      </c>
      <c r="D6" s="6" t="n">
        <v>4.2</v>
      </c>
      <c r="E6" s="9" t="n">
        <v>189000</v>
      </c>
      <c r="F6" s="6" t="n">
        <v>12000</v>
      </c>
      <c r="G6" s="15" t="n">
        <v>3.8</v>
      </c>
    </row>
    <row r="7">
      <c r="A7" s="4" t="inlineStr">
        <is>
          <t>HOG-045</t>
        </is>
      </c>
      <c r="B7" s="4" t="inlineStr">
        <is>
          <t>Escobas premium</t>
        </is>
      </c>
      <c r="C7" s="6" t="n">
        <v>18000</v>
      </c>
      <c r="D7" s="6" t="n">
        <v>6.9</v>
      </c>
      <c r="E7" s="9" t="n">
        <v>124200</v>
      </c>
      <c r="F7" s="6" t="n">
        <v>2100</v>
      </c>
      <c r="G7" s="15" t="n">
        <v>8.6</v>
      </c>
    </row>
    <row r="8">
      <c r="A8" s="4" t="inlineStr">
        <is>
          <t>HOG-046</t>
        </is>
      </c>
      <c r="B8" s="4" t="inlineStr">
        <is>
          <t>Trapeadores</t>
        </is>
      </c>
      <c r="C8" s="6" t="n">
        <v>25000</v>
      </c>
      <c r="D8" s="6" t="n">
        <v>5.6</v>
      </c>
      <c r="E8" s="9" t="n">
        <v>140000</v>
      </c>
      <c r="F8" s="6" t="n">
        <v>3000</v>
      </c>
      <c r="G8" s="15" t="n">
        <v>8.300000000000001</v>
      </c>
    </row>
    <row r="9">
      <c r="A9" s="4" t="inlineStr">
        <is>
          <t>HOG-052</t>
        </is>
      </c>
      <c r="B9" s="4" t="inlineStr">
        <is>
          <t>Bolsas basura 100L x50</t>
        </is>
      </c>
      <c r="C9" s="6" t="n">
        <v>60000</v>
      </c>
      <c r="D9" s="6" t="n">
        <v>7.3</v>
      </c>
      <c r="E9" s="9" t="n">
        <v>438000</v>
      </c>
      <c r="F9" s="6" t="n">
        <v>9000</v>
      </c>
      <c r="G9" s="15" t="n">
        <v>6.7</v>
      </c>
    </row>
    <row r="10">
      <c r="A10" s="4" t="inlineStr">
        <is>
          <t>HOG-VAR</t>
        </is>
      </c>
      <c r="B10" s="4" t="inlineStr">
        <is>
          <t>Varios Hogar (agregado)</t>
        </is>
      </c>
      <c r="C10" s="6" t="n">
        <v>163620</v>
      </c>
      <c r="D10" s="6" t="n">
        <v>10</v>
      </c>
      <c r="E10" s="9" t="n">
        <v>1636200</v>
      </c>
      <c r="F10" s="6" t="n">
        <v>77914</v>
      </c>
      <c r="G10" s="15" t="n">
        <v>2.1</v>
      </c>
    </row>
    <row r="11">
      <c r="A11" s="11" t="inlineStr">
        <is>
          <t>TOTAL</t>
        </is>
      </c>
      <c r="E11" s="12">
        <f>SUM(E3:E10)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32" customWidth="1" min="3" max="3"/>
  </cols>
  <sheetData>
    <row r="1">
      <c r="A1" s="10" t="inlineStr">
        <is>
          <t>Campo</t>
        </is>
      </c>
      <c r="B1" s="10" t="inlineStr">
        <is>
          <t>Definición</t>
        </is>
      </c>
      <c r="C1" s="10" t="inlineStr">
        <is>
          <t>Origen</t>
        </is>
      </c>
    </row>
    <row r="2">
      <c r="A2" s="16" t="inlineStr">
        <is>
          <t>Ventas netas</t>
        </is>
      </c>
      <c r="B2" s="16" t="inlineStr">
        <is>
          <t>Ventas brutas menos devoluciones y descuentos</t>
        </is>
      </c>
      <c r="C2" s="16" t="inlineStr">
        <is>
          <t>ERP ventas (sintético)</t>
        </is>
      </c>
    </row>
    <row r="3">
      <c r="A3" s="16" t="inlineStr">
        <is>
          <t>DSO</t>
        </is>
      </c>
      <c r="B3" s="16" t="inlineStr">
        <is>
          <t>CxC / ventas diarias</t>
        </is>
      </c>
      <c r="C3" s="16" t="inlineStr">
        <is>
          <t>Balance + PyG</t>
        </is>
      </c>
    </row>
    <row r="4">
      <c r="A4" s="16" t="inlineStr">
        <is>
          <t>DIO</t>
        </is>
      </c>
      <c r="B4" s="16" t="inlineStr">
        <is>
          <t>Inventarios / costo diario</t>
        </is>
      </c>
      <c r="C4" s="16" t="inlineStr">
        <is>
          <t>Balance + PyG</t>
        </is>
      </c>
    </row>
    <row r="5">
      <c r="A5" s="16" t="inlineStr">
        <is>
          <t>DPO</t>
        </is>
      </c>
      <c r="B5" s="16" t="inlineStr">
        <is>
          <t>CxP / compras diarias</t>
        </is>
      </c>
      <c r="C5" s="16" t="inlineStr">
        <is>
          <t>Balance + compras</t>
        </is>
      </c>
    </row>
    <row r="6">
      <c r="A6" s="16" t="inlineStr">
        <is>
          <t>CCC</t>
        </is>
      </c>
      <c r="B6" s="16" t="inlineStr">
        <is>
          <t>DSO + DIO − DPO</t>
        </is>
      </c>
      <c r="C6" s="16" t="inlineStr">
        <is>
          <t>Calculado</t>
        </is>
      </c>
    </row>
    <row r="7">
      <c r="A7" s="16" t="inlineStr">
        <is>
          <t>Exposición USD</t>
        </is>
      </c>
      <c r="B7" s="16" t="inlineStr">
        <is>
          <t>CxP USD − caja USD</t>
        </is>
      </c>
      <c r="C7" s="16" t="inlineStr">
        <is>
          <t>Tesorería</t>
        </is>
      </c>
    </row>
    <row r="8">
      <c r="A8" s="16" t="inlineStr">
        <is>
          <t>Bridge EBITDA</t>
        </is>
      </c>
      <c r="B8" s="16" t="inlineStr">
        <is>
          <t>Atribución volumen/precio/FX/descuento/opex</t>
        </is>
      </c>
      <c r="C8" s="16" t="inlineStr">
        <is>
          <t>FP&amp;A</t>
        </is>
      </c>
    </row>
    <row r="9">
      <c r="A9" s="16" t="inlineStr">
        <is>
          <t>Forecast base</t>
        </is>
      </c>
      <c r="B9" s="16" t="inlineStr">
        <is>
          <t>Ventas 58.5M, EBITDA 5.4M, pico deuda oct 11.2M</t>
        </is>
      </c>
      <c r="C9" s="16" t="inlineStr">
        <is>
          <t>Modelo + acciones A1-A5</t>
        </is>
      </c>
    </row>
    <row r="10">
      <c r="A10" s="16" t="inlineStr">
        <is>
          <t>Flujo H1</t>
        </is>
      </c>
      <c r="B10" s="16" t="inlineStr">
        <is>
          <t>FCO -1.13M, capex -350k, deuda neta +1.23M, caja -250k</t>
        </is>
      </c>
      <c r="C10" s="16" t="inlineStr">
        <is>
          <t>PyG + Balance</t>
        </is>
      </c>
    </row>
    <row r="11">
      <c r="A11" s="16" t="inlineStr">
        <is>
          <t>Deuda H2</t>
        </is>
      </c>
      <c r="B11" s="16" t="inlineStr">
        <is>
          <t>jul 10.4 a oct 11.2 y dic 10.0 (supuesto base)</t>
        </is>
      </c>
      <c r="C11" s="16" t="inlineStr">
        <is>
          <t>Escenario, no ERP</t>
        </is>
      </c>
    </row>
    <row r="12">
      <c r="A12" s="16" t="inlineStr">
        <is>
          <t>H1-2025</t>
        </is>
      </c>
      <c r="B12" s="16" t="inlineStr">
        <is>
          <t>Ventas 26.9M, EBITDA 2.76M: crece +5.6% YoY pero el margen se comprime</t>
        </is>
      </c>
      <c r="C12" s="16" t="inlineStr">
        <is>
          <t>Comparativo like-for-like</t>
        </is>
      </c>
    </row>
    <row r="13">
      <c r="A13" s="16" t="inlineStr">
        <is>
          <t>Puente PVM</t>
        </is>
      </c>
      <c r="B13" s="16" t="inlineStr">
        <is>
          <t>Volumen -1.10M, precio +250k, mix -450k, descuento -400k</t>
        </is>
      </c>
      <c r="C13" s="16" t="inlineStr">
        <is>
          <t>FP&amp;A (ventas ppto-&gt;real)</t>
        </is>
      </c>
    </row>
    <row r="14">
      <c r="A14" s="16" t="inlineStr">
        <is>
          <t>Aging institucional</t>
        </is>
      </c>
      <c r="B14" s="16" t="inlineStr">
        <is>
          <t>2.00M en 8 clientes, mora 60+ de 330k (DSO 70d del canal)</t>
        </is>
      </c>
      <c r="C14" s="16" t="inlineStr">
        <is>
          <t>Auxiliar cobranza (sintetico)</t>
        </is>
      </c>
    </row>
    <row r="15">
      <c r="A15" s="16" t="inlineStr">
        <is>
          <t>SKUs Hogar</t>
        </is>
      </c>
      <c r="B15" s="16" t="inlineStr">
        <is>
          <t>3.35M en 8 SKUs, 3 con +6 meses de cobertura (702k)</t>
        </is>
      </c>
      <c r="C15" s="16" t="inlineStr">
        <is>
          <t>Auxiliar inventarios (sintetico)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2026-09-04T12:02:13Z</dcterms:created>
  <dcterms:modified xmlns:dcterms="http://purl.org/dc/terms/" xmlns:xsi="http://www.w3.org/2001/XMLSchema-instance" xsi:type="dcterms:W3CDTF">2026-09-04T12:02:13Z</dcterms:modified>
</cp:coreProperties>
</file>